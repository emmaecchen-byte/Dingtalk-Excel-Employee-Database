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签字" sheetId="1" state="visible" r:id="rId1"/>
    <sheet name="情况说明" sheetId="2" state="visible" r:id="rId2"/>
    <sheet name="月度汇总" sheetId="3" state="visible" r:id="rId3"/>
    <sheet name="加班结算加班工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"/>
    </font>
    <font>
      <name val="宋体"/>
      <sz val="9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</cols>
  <sheetData>
    <row r="1" ht="28" customHeight="1">
      <c r="A1" s="1" t="inlineStr">
        <is>
          <t>创崎新能源技术（上海）有限公司员工2026年5月考勤表</t>
        </is>
      </c>
    </row>
    <row r="4">
      <c r="A4" s="2" t="inlineStr">
        <is>
          <t>签名</t>
        </is>
      </c>
      <c r="B4" s="2" t="inlineStr">
        <is>
          <t>姓名</t>
        </is>
      </c>
      <c r="C4" s="2" t="inlineStr">
        <is>
          <t>时间</t>
        </is>
      </c>
      <c r="D4" s="3" t="n">
        <v>1</v>
      </c>
      <c r="E4" s="3" t="n">
        <v>2</v>
      </c>
      <c r="F4" s="3" t="n">
        <v>3</v>
      </c>
      <c r="G4" s="3" t="n">
        <v>4</v>
      </c>
      <c r="H4" s="3" t="n">
        <v>5</v>
      </c>
      <c r="I4" s="3" t="n">
        <v>6</v>
      </c>
      <c r="J4" s="3" t="n">
        <v>7</v>
      </c>
      <c r="K4" s="3" t="n">
        <v>8</v>
      </c>
      <c r="L4" s="3" t="n">
        <v>9</v>
      </c>
      <c r="M4" s="3" t="n">
        <v>10</v>
      </c>
      <c r="N4" s="3" t="n">
        <v>11</v>
      </c>
      <c r="O4" s="3" t="n">
        <v>12</v>
      </c>
      <c r="P4" s="3" t="n">
        <v>13</v>
      </c>
      <c r="Q4" s="3" t="n">
        <v>14</v>
      </c>
      <c r="R4" s="3" t="n">
        <v>15</v>
      </c>
      <c r="S4" s="3" t="n">
        <v>16</v>
      </c>
      <c r="T4" s="3" t="n">
        <v>17</v>
      </c>
      <c r="U4" s="3" t="n">
        <v>18</v>
      </c>
      <c r="V4" s="3" t="n">
        <v>19</v>
      </c>
      <c r="W4" s="3" t="n">
        <v>20</v>
      </c>
      <c r="X4" s="3" t="n">
        <v>21</v>
      </c>
      <c r="Y4" s="3" t="n">
        <v>22</v>
      </c>
      <c r="Z4" s="3" t="n">
        <v>23</v>
      </c>
      <c r="AA4" s="3" t="n">
        <v>24</v>
      </c>
      <c r="AB4" s="3" t="n">
        <v>25</v>
      </c>
      <c r="AC4" s="3" t="n">
        <v>26</v>
      </c>
      <c r="AD4" s="3" t="n">
        <v>27</v>
      </c>
      <c r="AE4" s="3" t="n">
        <v>28</v>
      </c>
      <c r="AF4" s="3" t="n">
        <v>29</v>
      </c>
      <c r="AG4" s="3" t="n">
        <v>30</v>
      </c>
      <c r="AH4" s="3" t="n">
        <v>31</v>
      </c>
      <c r="AI4" s="3" t="inlineStr">
        <is>
          <t>出勤天数</t>
        </is>
      </c>
      <c r="AJ4" s="3" t="inlineStr">
        <is>
          <t>事假</t>
        </is>
      </c>
      <c r="AK4" s="3" t="inlineStr">
        <is>
          <t>病假</t>
        </is>
      </c>
      <c r="AL4" s="3" t="inlineStr">
        <is>
          <t>年假</t>
        </is>
      </c>
      <c r="AM4" s="3" t="inlineStr">
        <is>
          <t>调休</t>
        </is>
      </c>
      <c r="AN4" s="3" t="inlineStr">
        <is>
          <t>旷工</t>
        </is>
      </c>
      <c r="AO4" s="3" t="inlineStr">
        <is>
          <t>迟到</t>
        </is>
      </c>
      <c r="AP4" s="3" t="inlineStr">
        <is>
          <t>缺卡</t>
        </is>
      </c>
    </row>
    <row r="5" ht="22" customHeight="1">
      <c r="A5" s="4" t="n"/>
      <c r="B5" s="4" t="n"/>
      <c r="C5" s="4" t="n"/>
      <c r="D5" s="5" t="inlineStr">
        <is>
          <t>√=出勤  ◇=事假  ○=病假  △=年假  ☆=调休  ×=旷工  迟=迟到  缺=缺卡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</row>
    <row r="6">
      <c r="A6" s="6" t="n"/>
      <c r="B6" s="7" t="inlineStr">
        <is>
          <t>陈鹏</t>
        </is>
      </c>
      <c r="C6" s="6" t="inlineStr">
        <is>
          <t>上午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6">
        <f>COUNTIF(D6:AH7,"√")/2</f>
        <v/>
      </c>
      <c r="AJ6" s="6">
        <f>COUNTIF(D6:AH7,"◇")</f>
        <v/>
      </c>
      <c r="AK6" s="6">
        <f>COUNTIF(D6:AH7,"○")</f>
        <v/>
      </c>
      <c r="AL6" s="6">
        <f>COUNTIF(D6:AH7,"△")</f>
        <v/>
      </c>
      <c r="AM6" s="6">
        <f>COUNTIF(D6:AH7,"☆")</f>
        <v/>
      </c>
      <c r="AN6" s="6">
        <f>COUNTIF(D6:AH7,"×")</f>
        <v/>
      </c>
      <c r="AO6" s="6">
        <f>COUNTIF(D6:AH7,"迟")</f>
        <v/>
      </c>
      <c r="AP6" s="6">
        <f>COUNTIF(D6:AH7,"缺")</f>
        <v/>
      </c>
    </row>
    <row r="7">
      <c r="A7" s="4" t="n"/>
      <c r="B7" s="4" t="n"/>
      <c r="C7" s="6" t="inlineStr">
        <is>
          <t>下午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n"/>
      <c r="AJ7" s="4" t="n"/>
      <c r="AK7" s="4" t="n"/>
      <c r="AL7" s="4" t="n"/>
      <c r="AM7" s="4" t="n"/>
      <c r="AN7" s="4" t="n"/>
      <c r="AO7" s="4" t="n"/>
      <c r="AP7" s="4" t="n"/>
    </row>
    <row r="8">
      <c r="A8" s="6" t="n"/>
      <c r="B8" s="7" t="inlineStr">
        <is>
          <t>芮超杰</t>
        </is>
      </c>
      <c r="C8" s="6" t="inlineStr">
        <is>
          <t>上午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6">
        <f>COUNTIF(D8:AH9,"√")/2</f>
        <v/>
      </c>
      <c r="AJ8" s="6">
        <f>COUNTIF(D8:AH9,"◇")</f>
        <v/>
      </c>
      <c r="AK8" s="6">
        <f>COUNTIF(D8:AH9,"○")</f>
        <v/>
      </c>
      <c r="AL8" s="6">
        <f>COUNTIF(D8:AH9,"△")</f>
        <v/>
      </c>
      <c r="AM8" s="6">
        <f>COUNTIF(D8:AH9,"☆")</f>
        <v/>
      </c>
      <c r="AN8" s="6">
        <f>COUNTIF(D8:AH9,"×")</f>
        <v/>
      </c>
      <c r="AO8" s="6">
        <f>COUNTIF(D8:AH9,"迟")</f>
        <v/>
      </c>
      <c r="AP8" s="6">
        <f>COUNTIF(D8:AH9,"缺")</f>
        <v/>
      </c>
    </row>
    <row r="9">
      <c r="A9" s="4" t="n"/>
      <c r="B9" s="4" t="n"/>
      <c r="C9" s="6" t="inlineStr">
        <is>
          <t>下午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n"/>
      <c r="AJ9" s="4" t="n"/>
      <c r="AK9" s="4" t="n"/>
      <c r="AL9" s="4" t="n"/>
      <c r="AM9" s="4" t="n"/>
      <c r="AN9" s="4" t="n"/>
      <c r="AO9" s="4" t="n"/>
      <c r="AP9" s="4" t="n"/>
    </row>
    <row r="10">
      <c r="A10" s="6" t="n"/>
      <c r="B10" s="7" t="inlineStr">
        <is>
          <t>张成</t>
        </is>
      </c>
      <c r="C10" s="6" t="inlineStr">
        <is>
          <t>上午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6">
        <f>COUNTIF(D10:AH11,"√")/2</f>
        <v/>
      </c>
      <c r="AJ10" s="6">
        <f>COUNTIF(D10:AH11,"◇")</f>
        <v/>
      </c>
      <c r="AK10" s="6">
        <f>COUNTIF(D10:AH11,"○")</f>
        <v/>
      </c>
      <c r="AL10" s="6">
        <f>COUNTIF(D10:AH11,"△")</f>
        <v/>
      </c>
      <c r="AM10" s="6">
        <f>COUNTIF(D10:AH11,"☆")</f>
        <v/>
      </c>
      <c r="AN10" s="6">
        <f>COUNTIF(D10:AH11,"×")</f>
        <v/>
      </c>
      <c r="AO10" s="6">
        <f>COUNTIF(D10:AH11,"迟")</f>
        <v/>
      </c>
      <c r="AP10" s="6">
        <f>COUNTIF(D10:AH11,"缺")</f>
        <v/>
      </c>
    </row>
    <row r="11">
      <c r="A11" s="4" t="n"/>
      <c r="B11" s="4" t="n"/>
      <c r="C11" s="6" t="inlineStr">
        <is>
          <t>下午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n"/>
      <c r="AJ11" s="4" t="n"/>
      <c r="AK11" s="4" t="n"/>
      <c r="AL11" s="4" t="n"/>
      <c r="AM11" s="4" t="n"/>
      <c r="AN11" s="4" t="n"/>
      <c r="AO11" s="4" t="n"/>
      <c r="AP11" s="4" t="n"/>
    </row>
    <row r="12">
      <c r="A12" s="6" t="n"/>
      <c r="B12" s="7" t="inlineStr">
        <is>
          <t>李明</t>
        </is>
      </c>
      <c r="C12" s="6" t="inlineStr">
        <is>
          <t>上午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6">
        <f>COUNTIF(D12:AH13,"√")/2</f>
        <v/>
      </c>
      <c r="AJ12" s="6">
        <f>COUNTIF(D12:AH13,"◇")</f>
        <v/>
      </c>
      <c r="AK12" s="6">
        <f>COUNTIF(D12:AH13,"○")</f>
        <v/>
      </c>
      <c r="AL12" s="6">
        <f>COUNTIF(D12:AH13,"△")</f>
        <v/>
      </c>
      <c r="AM12" s="6">
        <f>COUNTIF(D12:AH13,"☆")</f>
        <v/>
      </c>
      <c r="AN12" s="6">
        <f>COUNTIF(D12:AH13,"×")</f>
        <v/>
      </c>
      <c r="AO12" s="6">
        <f>COUNTIF(D12:AH13,"迟")</f>
        <v/>
      </c>
      <c r="AP12" s="6">
        <f>COUNTIF(D12:AH13,"缺")</f>
        <v/>
      </c>
    </row>
    <row r="13">
      <c r="A13" s="4" t="n"/>
      <c r="B13" s="4" t="n"/>
      <c r="C13" s="6" t="inlineStr">
        <is>
          <t>下午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n"/>
      <c r="AJ13" s="4" t="n"/>
      <c r="AK13" s="4" t="n"/>
      <c r="AL13" s="4" t="n"/>
      <c r="AM13" s="4" t="n"/>
      <c r="AN13" s="4" t="n"/>
      <c r="AO13" s="4" t="n"/>
      <c r="AP13" s="4" t="n"/>
    </row>
    <row r="14">
      <c r="A14" s="6" t="n"/>
      <c r="B14" s="7" t="inlineStr">
        <is>
          <t>王芳</t>
        </is>
      </c>
      <c r="C14" s="6" t="inlineStr">
        <is>
          <t>上午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6">
        <f>COUNTIF(D14:AH15,"√")/2</f>
        <v/>
      </c>
      <c r="AJ14" s="6">
        <f>COUNTIF(D14:AH15,"◇")</f>
        <v/>
      </c>
      <c r="AK14" s="6">
        <f>COUNTIF(D14:AH15,"○")</f>
        <v/>
      </c>
      <c r="AL14" s="6">
        <f>COUNTIF(D14:AH15,"△")</f>
        <v/>
      </c>
      <c r="AM14" s="6">
        <f>COUNTIF(D14:AH15,"☆")</f>
        <v/>
      </c>
      <c r="AN14" s="6">
        <f>COUNTIF(D14:AH15,"×")</f>
        <v/>
      </c>
      <c r="AO14" s="6">
        <f>COUNTIF(D14:AH15,"迟")</f>
        <v/>
      </c>
      <c r="AP14" s="6">
        <f>COUNTIF(D14:AH15,"缺")</f>
        <v/>
      </c>
    </row>
    <row r="15">
      <c r="A15" s="4" t="n"/>
      <c r="B15" s="4" t="n"/>
      <c r="C15" s="6" t="inlineStr">
        <is>
          <t>下午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n"/>
      <c r="AJ15" s="4" t="n"/>
      <c r="AK15" s="4" t="n"/>
      <c r="AL15" s="4" t="n"/>
      <c r="AM15" s="4" t="n"/>
      <c r="AN15" s="4" t="n"/>
      <c r="AO15" s="4" t="n"/>
      <c r="AP15" s="4" t="n"/>
    </row>
  </sheetData>
  <mergeCells count="52">
    <mergeCell ref="AP14:AP15"/>
    <mergeCell ref="A1:AP1"/>
    <mergeCell ref="AI10:AI11"/>
    <mergeCell ref="B12:B13"/>
    <mergeCell ref="AJ8:AJ9"/>
    <mergeCell ref="AP8:AP9"/>
    <mergeCell ref="AJ14:AJ15"/>
    <mergeCell ref="B8:B9"/>
    <mergeCell ref="AI6:AI7"/>
    <mergeCell ref="A6:A7"/>
    <mergeCell ref="AO12:AO13"/>
    <mergeCell ref="B14:B15"/>
    <mergeCell ref="AJ10:AJ11"/>
    <mergeCell ref="AP10:AP11"/>
    <mergeCell ref="AK14:AK15"/>
    <mergeCell ref="A12:A13"/>
    <mergeCell ref="AL12:AL13"/>
    <mergeCell ref="B10:B11"/>
    <mergeCell ref="AN12:AN13"/>
    <mergeCell ref="AJ6:AJ7"/>
    <mergeCell ref="AP6:AP7"/>
    <mergeCell ref="B6:B7"/>
    <mergeCell ref="AK10:AK11"/>
    <mergeCell ref="AM10:AM11"/>
    <mergeCell ref="A14:A15"/>
    <mergeCell ref="AO10:AO11"/>
    <mergeCell ref="AO14:AO15"/>
    <mergeCell ref="AK6:AK7"/>
    <mergeCell ref="A8:A9"/>
    <mergeCell ref="AM6:AM7"/>
    <mergeCell ref="AL8:AL9"/>
    <mergeCell ref="AL14:AL15"/>
    <mergeCell ref="AN8:AN9"/>
    <mergeCell ref="AN14:AN15"/>
    <mergeCell ref="AI12:AI13"/>
    <mergeCell ref="AI8:AI9"/>
    <mergeCell ref="A10:A11"/>
    <mergeCell ref="AM12:AM13"/>
    <mergeCell ref="AO6:AO7"/>
    <mergeCell ref="AL10:AL11"/>
    <mergeCell ref="AN10:AN11"/>
    <mergeCell ref="D5:AP5"/>
    <mergeCell ref="AI14:AI15"/>
    <mergeCell ref="AK8:AK9"/>
    <mergeCell ref="AM8:AM9"/>
    <mergeCell ref="AO8:AO9"/>
    <mergeCell ref="AP12:AP13"/>
    <mergeCell ref="AJ12:AJ13"/>
    <mergeCell ref="AL6:AL7"/>
    <mergeCell ref="AK12:AK13"/>
    <mergeCell ref="AN6:AN7"/>
    <mergeCell ref="AM14:AM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8" t="inlineStr">
        <is>
          <t>姓名</t>
        </is>
      </c>
      <c r="B1" s="8" t="inlineStr">
        <is>
          <t>日期</t>
        </is>
      </c>
      <c r="C1" s="8" t="inlineStr">
        <is>
          <t>异常情况</t>
        </is>
      </c>
      <c r="D1" s="8" t="inlineStr">
        <is>
          <t>是否补单</t>
        </is>
      </c>
      <c r="E1" s="8" t="inlineStr">
        <is>
          <t>备注</t>
        </is>
      </c>
    </row>
    <row r="2">
      <c r="A2" s="4" t="inlineStr"/>
      <c r="B2" s="4" t="inlineStr"/>
      <c r="C2" s="4" t="inlineStr"/>
      <c r="D2" s="4" t="inlineStr"/>
      <c r="E2" s="4" t="inlineStr"/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4" t="inlineStr"/>
      <c r="B19" s="4" t="inlineStr"/>
      <c r="C19" s="4" t="inlineStr"/>
      <c r="D19" s="4" t="inlineStr"/>
      <c r="E19" s="4" t="inlineStr"/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inlineStr"/>
      <c r="B28" s="4" t="inlineStr"/>
      <c r="C28" s="4" t="inlineStr"/>
      <c r="D28" s="4" t="inlineStr"/>
      <c r="E28" s="4" t="inlineStr"/>
    </row>
    <row r="29">
      <c r="A29" s="4" t="inlineStr"/>
      <c r="B29" s="4" t="inlineStr"/>
      <c r="C29" s="4" t="inlineStr"/>
      <c r="D29" s="4" t="inlineStr"/>
      <c r="E29" s="4" t="inlineStr"/>
    </row>
    <row r="30">
      <c r="A30" s="4" t="inlineStr"/>
      <c r="B30" s="4" t="inlineStr"/>
      <c r="C30" s="4" t="inlineStr"/>
      <c r="D30" s="4" t="inlineStr"/>
      <c r="E30" s="4" t="inlineStr"/>
    </row>
    <row r="31">
      <c r="A31" s="4" t="inlineStr"/>
      <c r="B31" s="4" t="inlineStr"/>
      <c r="C31" s="4" t="inlineStr"/>
      <c r="D31" s="4" t="inlineStr"/>
      <c r="E31" s="4" t="inlineStr"/>
    </row>
    <row r="32">
      <c r="A32" s="4" t="inlineStr"/>
      <c r="B32" s="4" t="inlineStr"/>
      <c r="C32" s="4" t="inlineStr"/>
      <c r="D32" s="4" t="inlineStr"/>
      <c r="E32" s="4" t="inlineStr"/>
    </row>
    <row r="33">
      <c r="A33" s="4" t="inlineStr"/>
      <c r="B33" s="4" t="inlineStr"/>
      <c r="C33" s="4" t="inlineStr"/>
      <c r="D33" s="4" t="inlineStr"/>
      <c r="E33" s="4" t="inlineStr"/>
    </row>
    <row r="34">
      <c r="A34" s="4" t="inlineStr"/>
      <c r="B34" s="4" t="inlineStr"/>
      <c r="C34" s="4" t="inlineStr"/>
      <c r="D34" s="4" t="inlineStr"/>
      <c r="E34" s="4" t="inlineStr"/>
    </row>
    <row r="35">
      <c r="A35" s="4" t="inlineStr"/>
      <c r="B35" s="4" t="inlineStr"/>
      <c r="C35" s="4" t="inlineStr"/>
      <c r="D35" s="4" t="inlineStr"/>
      <c r="E35" s="4" t="inlineStr"/>
    </row>
    <row r="36">
      <c r="A36" s="4" t="inlineStr"/>
      <c r="B36" s="4" t="inlineStr"/>
      <c r="C36" s="4" t="inlineStr"/>
      <c r="D36" s="4" t="inlineStr"/>
      <c r="E36" s="4" t="inlineStr"/>
    </row>
    <row r="37">
      <c r="A37" s="4" t="inlineStr"/>
      <c r="B37" s="4" t="inlineStr"/>
      <c r="C37" s="4" t="inlineStr"/>
      <c r="D37" s="4" t="inlineStr"/>
      <c r="E37" s="4" t="inlineStr"/>
    </row>
    <row r="38">
      <c r="A38" s="4" t="inlineStr"/>
      <c r="B38" s="4" t="inlineStr"/>
      <c r="C38" s="4" t="inlineStr"/>
      <c r="D38" s="4" t="inlineStr"/>
      <c r="E38" s="4" t="inlineStr"/>
    </row>
    <row r="39">
      <c r="A39" s="4" t="inlineStr"/>
      <c r="B39" s="4" t="inlineStr"/>
      <c r="C39" s="4" t="inlineStr"/>
      <c r="D39" s="4" t="inlineStr"/>
      <c r="E39" s="4" t="inlineStr"/>
    </row>
    <row r="40">
      <c r="A40" s="4" t="inlineStr"/>
      <c r="B40" s="4" t="inlineStr"/>
      <c r="C40" s="4" t="inlineStr"/>
      <c r="D40" s="4" t="inlineStr"/>
      <c r="E40" s="4" t="inlineStr"/>
    </row>
    <row r="41">
      <c r="A41" s="4" t="inlineStr"/>
      <c r="B41" s="4" t="inlineStr"/>
      <c r="C41" s="4" t="inlineStr"/>
      <c r="D41" s="4" t="inlineStr"/>
      <c r="E41" s="4" t="inlineStr"/>
    </row>
    <row r="42">
      <c r="A42" s="4" t="inlineStr"/>
      <c r="B42" s="4" t="inlineStr"/>
      <c r="C42" s="4" t="inlineStr"/>
      <c r="D42" s="4" t="inlineStr"/>
      <c r="E42" s="4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4" t="inlineStr"/>
      <c r="B44" s="4" t="inlineStr"/>
      <c r="C44" s="4" t="inlineStr"/>
      <c r="D44" s="4" t="inlineStr"/>
      <c r="E44" s="4" t="inlineStr"/>
    </row>
    <row r="45">
      <c r="A45" s="4" t="inlineStr"/>
      <c r="B45" s="4" t="inlineStr"/>
      <c r="C45" s="4" t="inlineStr"/>
      <c r="D45" s="4" t="inlineStr"/>
      <c r="E45" s="4" t="inlineStr"/>
    </row>
    <row r="46">
      <c r="A46" s="4" t="inlineStr"/>
      <c r="B46" s="4" t="inlineStr"/>
      <c r="C46" s="4" t="inlineStr"/>
      <c r="D46" s="4" t="inlineStr"/>
      <c r="E46" s="4" t="inlineStr"/>
    </row>
    <row r="47">
      <c r="A47" s="4" t="inlineStr"/>
      <c r="B47" s="4" t="inlineStr"/>
      <c r="C47" s="4" t="inlineStr"/>
      <c r="D47" s="4" t="inlineStr"/>
      <c r="E47" s="4" t="inlineStr"/>
    </row>
    <row r="48">
      <c r="A48" s="4" t="inlineStr"/>
      <c r="B48" s="4" t="inlineStr"/>
      <c r="C48" s="4" t="inlineStr"/>
      <c r="D48" s="4" t="inlineStr"/>
      <c r="E48" s="4" t="inlineStr"/>
    </row>
    <row r="49">
      <c r="A49" s="4" t="inlineStr"/>
      <c r="B49" s="4" t="inlineStr"/>
      <c r="C49" s="4" t="inlineStr"/>
      <c r="D49" s="4" t="inlineStr"/>
      <c r="E49" s="4" t="inlineStr"/>
    </row>
    <row r="50">
      <c r="A50" s="4" t="inlineStr"/>
      <c r="B50" s="4" t="inlineStr"/>
      <c r="C50" s="4" t="inlineStr"/>
      <c r="D50" s="4" t="inlineStr"/>
      <c r="E50" s="4" t="inlineStr"/>
    </row>
    <row r="51">
      <c r="A51" s="4" t="inlineStr"/>
      <c r="B51" s="4" t="inlineStr"/>
      <c r="C51" s="4" t="inlineStr"/>
      <c r="D51" s="4" t="inlineStr"/>
      <c r="E5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</cols>
  <sheetData>
    <row r="1">
      <c r="A1" s="1" t="inlineStr">
        <is>
          <t>创崎新能源技术（上海）有限公司</t>
        </is>
      </c>
    </row>
    <row r="2">
      <c r="A2" s="1" t="inlineStr">
        <is>
          <t>2026年5月考勤月度汇总</t>
        </is>
      </c>
    </row>
    <row r="3">
      <c r="A3" s="8" t="inlineStr">
        <is>
          <t>员工信息</t>
        </is>
      </c>
      <c r="B3" s="4" t="n"/>
      <c r="C3" s="4" t="n"/>
      <c r="D3" s="4" t="n"/>
      <c r="E3" s="4" t="n"/>
      <c r="F3" s="8" t="inlineStr">
        <is>
          <t>月度统计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8" t="inlineStr">
        <is>
          <t>每日考勤状态</t>
        </is>
      </c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8" t="inlineStr">
        <is>
          <t>辅助计算列</t>
        </is>
      </c>
      <c r="BP3" s="4" t="n"/>
      <c r="BQ3" s="4" t="n"/>
      <c r="BR3" s="4" t="n"/>
      <c r="BS3" s="4" t="n"/>
      <c r="BT3" s="4" t="n"/>
    </row>
    <row r="4">
      <c r="A4" s="8" t="inlineStr">
        <is>
          <t>姓名</t>
        </is>
      </c>
      <c r="B4" s="8" t="inlineStr">
        <is>
          <t>考勤组</t>
        </is>
      </c>
      <c r="C4" s="8" t="inlineStr">
        <is>
          <t>部门</t>
        </is>
      </c>
      <c r="D4" s="8" t="inlineStr">
        <is>
          <t>工号</t>
        </is>
      </c>
      <c r="E4" s="8" t="inlineStr">
        <is>
          <t>职位</t>
        </is>
      </c>
      <c r="F4" s="8" t="inlineStr">
        <is>
          <t>应出勤天数</t>
        </is>
      </c>
      <c r="G4" s="8" t="inlineStr">
        <is>
          <t>实际出勤天数</t>
        </is>
      </c>
      <c r="H4" s="8" t="inlineStr">
        <is>
          <t>事假(天)</t>
        </is>
      </c>
      <c r="I4" s="8" t="inlineStr">
        <is>
          <t>病假(天)</t>
        </is>
      </c>
      <c r="J4" s="8" t="inlineStr">
        <is>
          <t>年假(天)</t>
        </is>
      </c>
      <c r="K4" s="8" t="inlineStr">
        <is>
          <t>调休(天)</t>
        </is>
      </c>
      <c r="L4" s="8" t="inlineStr">
        <is>
          <t>加班(小时)</t>
        </is>
      </c>
      <c r="M4" s="8" t="inlineStr">
        <is>
          <t>旷工(次)</t>
        </is>
      </c>
      <c r="N4" s="8" t="inlineStr">
        <is>
          <t>迟到(次)</t>
        </is>
      </c>
      <c r="O4" s="8" t="inlineStr">
        <is>
          <t>缺卡(次)</t>
        </is>
      </c>
      <c r="P4" s="8" t="inlineStr">
        <is>
          <t>出勤率</t>
        </is>
      </c>
      <c r="Q4" s="8" t="inlineStr">
        <is>
          <t>异常情况</t>
        </is>
      </c>
      <c r="R4" s="8" t="inlineStr">
        <is>
          <t>是否补单</t>
        </is>
      </c>
      <c r="S4" s="8" t="inlineStr">
        <is>
          <t>备注</t>
        </is>
      </c>
      <c r="T4" s="8" t="inlineStr">
        <is>
          <t>签字表出勤</t>
        </is>
      </c>
      <c r="U4" s="8" t="inlineStr">
        <is>
          <t>签字表事假</t>
        </is>
      </c>
      <c r="V4" s="8" t="inlineStr">
        <is>
          <t>签字表病假</t>
        </is>
      </c>
      <c r="W4" s="8" t="inlineStr">
        <is>
          <t>签字表年假</t>
        </is>
      </c>
      <c r="X4" s="8" t="inlineStr">
        <is>
          <t>签字表调休</t>
        </is>
      </c>
      <c r="Y4" s="8" t="inlineStr">
        <is>
          <t>签字表旷工</t>
        </is>
      </c>
      <c r="Z4" s="8" t="inlineStr">
        <is>
          <t>签字表迟到</t>
        </is>
      </c>
      <c r="AA4" s="8" t="inlineStr">
        <is>
          <t>签字表缺卡</t>
        </is>
      </c>
      <c r="AB4" s="8" t="inlineStr">
        <is>
          <t>事假(小时)</t>
        </is>
      </c>
      <c r="AC4" s="8" t="inlineStr">
        <is>
          <t>病假(小时)</t>
        </is>
      </c>
      <c r="AD4" s="8" t="inlineStr">
        <is>
          <t>年假(小时)</t>
        </is>
      </c>
      <c r="AE4" s="8" t="inlineStr">
        <is>
          <t>调休(小时)</t>
        </is>
      </c>
      <c r="AF4" s="8" t="inlineStr">
        <is>
          <t>平日加班</t>
        </is>
      </c>
      <c r="AG4" s="8" t="inlineStr">
        <is>
          <t>周末加班</t>
        </is>
      </c>
      <c r="AH4" s="8" t="inlineStr">
        <is>
          <t>节假日加班</t>
        </is>
      </c>
      <c r="AI4" s="8" t="inlineStr">
        <is>
          <t>加班合计</t>
        </is>
      </c>
      <c r="AJ4" s="8" t="n">
        <v>1</v>
      </c>
      <c r="AK4" s="8" t="n">
        <v>2</v>
      </c>
      <c r="AL4" s="8" t="n">
        <v>3</v>
      </c>
      <c r="AM4" s="8" t="n">
        <v>4</v>
      </c>
      <c r="AN4" s="8" t="n">
        <v>5</v>
      </c>
      <c r="AO4" s="8" t="n">
        <v>6</v>
      </c>
      <c r="AP4" s="8" t="n">
        <v>7</v>
      </c>
      <c r="AQ4" s="8" t="n">
        <v>8</v>
      </c>
      <c r="AR4" s="8" t="n">
        <v>9</v>
      </c>
      <c r="AS4" s="8" t="n">
        <v>10</v>
      </c>
      <c r="AT4" s="8" t="n">
        <v>11</v>
      </c>
      <c r="AU4" s="8" t="n">
        <v>12</v>
      </c>
      <c r="AV4" s="8" t="n">
        <v>13</v>
      </c>
      <c r="AW4" s="8" t="n">
        <v>14</v>
      </c>
      <c r="AX4" s="8" t="n">
        <v>15</v>
      </c>
      <c r="AY4" s="8" t="n">
        <v>16</v>
      </c>
      <c r="AZ4" s="8" t="n">
        <v>17</v>
      </c>
      <c r="BA4" s="8" t="n">
        <v>18</v>
      </c>
      <c r="BB4" s="8" t="n">
        <v>19</v>
      </c>
      <c r="BC4" s="8" t="n">
        <v>20</v>
      </c>
      <c r="BD4" s="8" t="n">
        <v>21</v>
      </c>
      <c r="BE4" s="8" t="n">
        <v>22</v>
      </c>
      <c r="BF4" s="8" t="n">
        <v>23</v>
      </c>
      <c r="BG4" s="8" t="n">
        <v>24</v>
      </c>
      <c r="BH4" s="8" t="n">
        <v>25</v>
      </c>
      <c r="BI4" s="8" t="n">
        <v>26</v>
      </c>
      <c r="BJ4" s="8" t="n">
        <v>27</v>
      </c>
      <c r="BK4" s="8" t="n">
        <v>28</v>
      </c>
      <c r="BL4" s="8" t="n">
        <v>29</v>
      </c>
      <c r="BM4" s="8" t="n">
        <v>30</v>
      </c>
      <c r="BN4" s="8" t="n">
        <v>31</v>
      </c>
      <c r="BO4" s="8" t="inlineStr">
        <is>
          <t>异常汇总</t>
        </is>
      </c>
      <c r="BP4" s="8" t="inlineStr">
        <is>
          <t>旷工次数</t>
        </is>
      </c>
      <c r="BQ4" s="8" t="inlineStr">
        <is>
          <t>迟到次数</t>
        </is>
      </c>
      <c r="BR4" s="8" t="inlineStr">
        <is>
          <t>缺卡次数</t>
        </is>
      </c>
      <c r="BS4" s="8" t="inlineStr">
        <is>
          <t>是否补单</t>
        </is>
      </c>
      <c r="BT4" s="8" t="inlineStr">
        <is>
          <t>备注</t>
        </is>
      </c>
    </row>
    <row r="5">
      <c r="A5" s="4" t="inlineStr">
        <is>
          <t>陈鹏</t>
        </is>
      </c>
      <c r="B5" s="4" t="inlineStr">
        <is>
          <t>默认考勤组</t>
        </is>
      </c>
      <c r="C5" s="4" t="inlineStr">
        <is>
          <t>朋创</t>
        </is>
      </c>
      <c r="D5" s="4" t="inlineStr">
        <is>
          <t>E001</t>
        </is>
      </c>
      <c r="E5" s="4" t="inlineStr">
        <is>
          <t>工程师</t>
        </is>
      </c>
      <c r="F5" s="4" t="n">
        <v>31</v>
      </c>
      <c r="G5" s="4">
        <f>COUNTIF(AJ5:BN5,"√")</f>
        <v/>
      </c>
      <c r="H5" s="4">
        <f>COUNTIF(AJ5:BN5,"◇")/2</f>
        <v/>
      </c>
      <c r="I5" s="4">
        <f>COUNTIF(AJ5:BN5,"○")/2</f>
        <v/>
      </c>
      <c r="J5" s="4">
        <f>COUNTIF(AJ5:BN5,"△")/2</f>
        <v/>
      </c>
      <c r="K5" s="4">
        <f>COUNTIF(AJ5:BN5,"☆")/2</f>
        <v/>
      </c>
      <c r="L5" s="4">
        <f>'加班结算加班工资'!H5</f>
        <v/>
      </c>
      <c r="M5" s="4">
        <f>COUNTIF(AJ5:BN5,"×")</f>
        <v/>
      </c>
      <c r="N5" s="4">
        <f>COUNTIF(AJ5:BN5,"迟")</f>
        <v/>
      </c>
      <c r="O5" s="4">
        <f>COUNTIF(AJ5:BN5,"缺")</f>
        <v/>
      </c>
      <c r="P5" s="9">
        <f>IF(F5=0,0,G5/F5)</f>
        <v/>
      </c>
      <c r="Q5" s="4" t="inlineStr"/>
      <c r="R5" s="4" t="inlineStr"/>
      <c r="S5" s="4" t="inlineStr"/>
      <c r="T5" s="4">
        <f>签字!AI6</f>
        <v/>
      </c>
      <c r="U5" s="4">
        <f>签字!AJ6</f>
        <v/>
      </c>
      <c r="V5" s="4">
        <f>签字!AK6</f>
        <v/>
      </c>
      <c r="W5" s="4">
        <f>签字!AL6</f>
        <v/>
      </c>
      <c r="X5" s="4">
        <f>签字!AM6</f>
        <v/>
      </c>
      <c r="Y5" s="4">
        <f>签字!AN6</f>
        <v/>
      </c>
      <c r="Z5" s="4">
        <f>签字!AO6</f>
        <v/>
      </c>
      <c r="AA5" s="4">
        <f>签字!AP6</f>
        <v/>
      </c>
      <c r="AB5" s="4">
        <f>H5*8</f>
        <v/>
      </c>
      <c r="AC5" s="4">
        <f>I5*8</f>
        <v/>
      </c>
      <c r="AD5" s="4">
        <f>J5*8</f>
        <v/>
      </c>
      <c r="AE5" s="4">
        <f>K5*8</f>
        <v/>
      </c>
      <c r="AF5" s="4">
        <f>'加班结算加班工资'!E5</f>
        <v/>
      </c>
      <c r="AG5" s="4">
        <f>'加班结算加班工资'!F5</f>
        <v/>
      </c>
      <c r="AH5" s="4">
        <f>'加班结算加班工资'!G5</f>
        <v/>
      </c>
      <c r="AI5" s="4">
        <f>'加班结算加班工资'!H5</f>
        <v/>
      </c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>
        <f>IF(M5+N5+O5&gt;0,"旷工"&amp;M5&amp;"次 迟到"&amp;N5&amp;"次 缺卡"&amp;O5&amp;"次","正常")</f>
        <v/>
      </c>
      <c r="BP5" s="4">
        <f>M5</f>
        <v/>
      </c>
      <c r="BQ5" s="4">
        <f>N5</f>
        <v/>
      </c>
      <c r="BR5" s="4">
        <f>O5</f>
        <v/>
      </c>
      <c r="BS5" s="4">
        <f>R5</f>
        <v/>
      </c>
      <c r="BT5" s="4">
        <f>S5</f>
        <v/>
      </c>
    </row>
    <row r="6">
      <c r="A6" s="4" t="inlineStr">
        <is>
          <t>芮超杰</t>
        </is>
      </c>
      <c r="B6" s="4" t="inlineStr">
        <is>
          <t>默认考勤组</t>
        </is>
      </c>
      <c r="C6" s="4" t="inlineStr">
        <is>
          <t>电机部</t>
        </is>
      </c>
      <c r="D6" s="4" t="inlineStr">
        <is>
          <t>E002</t>
        </is>
      </c>
      <c r="E6" s="4" t="inlineStr">
        <is>
          <t>技术员</t>
        </is>
      </c>
      <c r="F6" s="4" t="n">
        <v>31</v>
      </c>
      <c r="G6" s="4">
        <f>COUNTIF(AJ6:BN6,"√")</f>
        <v/>
      </c>
      <c r="H6" s="4">
        <f>COUNTIF(AJ6:BN6,"◇")/2</f>
        <v/>
      </c>
      <c r="I6" s="4">
        <f>COUNTIF(AJ6:BN6,"○")/2</f>
        <v/>
      </c>
      <c r="J6" s="4">
        <f>COUNTIF(AJ6:BN6,"△")/2</f>
        <v/>
      </c>
      <c r="K6" s="4">
        <f>COUNTIF(AJ6:BN6,"☆")/2</f>
        <v/>
      </c>
      <c r="L6" s="4">
        <f>'加班结算加班工资'!H6</f>
        <v/>
      </c>
      <c r="M6" s="4">
        <f>COUNTIF(AJ6:BN6,"×")</f>
        <v/>
      </c>
      <c r="N6" s="4">
        <f>COUNTIF(AJ6:BN6,"迟")</f>
        <v/>
      </c>
      <c r="O6" s="4">
        <f>COUNTIF(AJ6:BN6,"缺")</f>
        <v/>
      </c>
      <c r="P6" s="9">
        <f>IF(F6=0,0,G6/F6)</f>
        <v/>
      </c>
      <c r="Q6" s="4" t="inlineStr"/>
      <c r="R6" s="4" t="inlineStr"/>
      <c r="S6" s="4" t="inlineStr"/>
      <c r="T6" s="4">
        <f>签字!AI8</f>
        <v/>
      </c>
      <c r="U6" s="4">
        <f>签字!AJ8</f>
        <v/>
      </c>
      <c r="V6" s="4">
        <f>签字!AK8</f>
        <v/>
      </c>
      <c r="W6" s="4">
        <f>签字!AL8</f>
        <v/>
      </c>
      <c r="X6" s="4">
        <f>签字!AM8</f>
        <v/>
      </c>
      <c r="Y6" s="4">
        <f>签字!AN8</f>
        <v/>
      </c>
      <c r="Z6" s="4">
        <f>签字!AO8</f>
        <v/>
      </c>
      <c r="AA6" s="4">
        <f>签字!AP8</f>
        <v/>
      </c>
      <c r="AB6" s="4">
        <f>H6*8</f>
        <v/>
      </c>
      <c r="AC6" s="4">
        <f>I6*8</f>
        <v/>
      </c>
      <c r="AD6" s="4">
        <f>J6*8</f>
        <v/>
      </c>
      <c r="AE6" s="4">
        <f>K6*8</f>
        <v/>
      </c>
      <c r="AF6" s="4">
        <f>'加班结算加班工资'!E6</f>
        <v/>
      </c>
      <c r="AG6" s="4">
        <f>'加班结算加班工资'!F6</f>
        <v/>
      </c>
      <c r="AH6" s="4">
        <f>'加班结算加班工资'!G6</f>
        <v/>
      </c>
      <c r="AI6" s="4">
        <f>'加班结算加班工资'!H6</f>
        <v/>
      </c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>
        <f>IF(M6+N6+O6&gt;0,"旷工"&amp;M6&amp;"次 迟到"&amp;N6&amp;"次 缺卡"&amp;O6&amp;"次","正常")</f>
        <v/>
      </c>
      <c r="BP6" s="4">
        <f>M6</f>
        <v/>
      </c>
      <c r="BQ6" s="4">
        <f>N6</f>
        <v/>
      </c>
      <c r="BR6" s="4">
        <f>O6</f>
        <v/>
      </c>
      <c r="BS6" s="4">
        <f>R6</f>
        <v/>
      </c>
      <c r="BT6" s="4">
        <f>S6</f>
        <v/>
      </c>
    </row>
    <row r="7">
      <c r="A7" s="4" t="inlineStr">
        <is>
          <t>张成</t>
        </is>
      </c>
      <c r="B7" s="4" t="inlineStr">
        <is>
          <t>默认考勤组</t>
        </is>
      </c>
      <c r="C7" s="4" t="inlineStr">
        <is>
          <t>项目推进部</t>
        </is>
      </c>
      <c r="D7" s="4" t="inlineStr">
        <is>
          <t>E003</t>
        </is>
      </c>
      <c r="E7" s="4" t="inlineStr">
        <is>
          <t>项目经理</t>
        </is>
      </c>
      <c r="F7" s="4" t="n">
        <v>31</v>
      </c>
      <c r="G7" s="4">
        <f>COUNTIF(AJ7:BN7,"√")</f>
        <v/>
      </c>
      <c r="H7" s="4">
        <f>COUNTIF(AJ7:BN7,"◇")/2</f>
        <v/>
      </c>
      <c r="I7" s="4">
        <f>COUNTIF(AJ7:BN7,"○")/2</f>
        <v/>
      </c>
      <c r="J7" s="4">
        <f>COUNTIF(AJ7:BN7,"△")/2</f>
        <v/>
      </c>
      <c r="K7" s="4">
        <f>COUNTIF(AJ7:BN7,"☆")/2</f>
        <v/>
      </c>
      <c r="L7" s="4">
        <f>'加班结算加班工资'!H7</f>
        <v/>
      </c>
      <c r="M7" s="4">
        <f>COUNTIF(AJ7:BN7,"×")</f>
        <v/>
      </c>
      <c r="N7" s="4">
        <f>COUNTIF(AJ7:BN7,"迟")</f>
        <v/>
      </c>
      <c r="O7" s="4">
        <f>COUNTIF(AJ7:BN7,"缺")</f>
        <v/>
      </c>
      <c r="P7" s="9">
        <f>IF(F7=0,0,G7/F7)</f>
        <v/>
      </c>
      <c r="Q7" s="4" t="inlineStr"/>
      <c r="R7" s="4" t="inlineStr"/>
      <c r="S7" s="4" t="inlineStr"/>
      <c r="T7" s="4">
        <f>签字!AI10</f>
        <v/>
      </c>
      <c r="U7" s="4">
        <f>签字!AJ10</f>
        <v/>
      </c>
      <c r="V7" s="4">
        <f>签字!AK10</f>
        <v/>
      </c>
      <c r="W7" s="4">
        <f>签字!AL10</f>
        <v/>
      </c>
      <c r="X7" s="4">
        <f>签字!AM10</f>
        <v/>
      </c>
      <c r="Y7" s="4">
        <f>签字!AN10</f>
        <v/>
      </c>
      <c r="Z7" s="4">
        <f>签字!AO10</f>
        <v/>
      </c>
      <c r="AA7" s="4">
        <f>签字!AP10</f>
        <v/>
      </c>
      <c r="AB7" s="4">
        <f>H7*8</f>
        <v/>
      </c>
      <c r="AC7" s="4">
        <f>I7*8</f>
        <v/>
      </c>
      <c r="AD7" s="4">
        <f>J7*8</f>
        <v/>
      </c>
      <c r="AE7" s="4">
        <f>K7*8</f>
        <v/>
      </c>
      <c r="AF7" s="4">
        <f>'加班结算加班工资'!E7</f>
        <v/>
      </c>
      <c r="AG7" s="4">
        <f>'加班结算加班工资'!F7</f>
        <v/>
      </c>
      <c r="AH7" s="4">
        <f>'加班结算加班工资'!G7</f>
        <v/>
      </c>
      <c r="AI7" s="4">
        <f>'加班结算加班工资'!H7</f>
        <v/>
      </c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>
        <f>IF(M7+N7+O7&gt;0,"旷工"&amp;M7&amp;"次 迟到"&amp;N7&amp;"次 缺卡"&amp;O7&amp;"次","正常")</f>
        <v/>
      </c>
      <c r="BP7" s="4">
        <f>M7</f>
        <v/>
      </c>
      <c r="BQ7" s="4">
        <f>N7</f>
        <v/>
      </c>
      <c r="BR7" s="4">
        <f>O7</f>
        <v/>
      </c>
      <c r="BS7" s="4">
        <f>R7</f>
        <v/>
      </c>
      <c r="BT7" s="4">
        <f>S7</f>
        <v/>
      </c>
    </row>
    <row r="8">
      <c r="A8" s="4" t="inlineStr">
        <is>
          <t>李明</t>
        </is>
      </c>
      <c r="B8" s="4" t="inlineStr">
        <is>
          <t>默认考勤组</t>
        </is>
      </c>
      <c r="C8" s="4" t="inlineStr">
        <is>
          <t>品质部</t>
        </is>
      </c>
      <c r="D8" s="4" t="inlineStr">
        <is>
          <t>E004</t>
        </is>
      </c>
      <c r="E8" s="4" t="inlineStr">
        <is>
          <t>质检员</t>
        </is>
      </c>
      <c r="F8" s="4" t="n">
        <v>31</v>
      </c>
      <c r="G8" s="4">
        <f>COUNTIF(AJ8:BN8,"√")</f>
        <v/>
      </c>
      <c r="H8" s="4">
        <f>COUNTIF(AJ8:BN8,"◇")/2</f>
        <v/>
      </c>
      <c r="I8" s="4">
        <f>COUNTIF(AJ8:BN8,"○")/2</f>
        <v/>
      </c>
      <c r="J8" s="4">
        <f>COUNTIF(AJ8:BN8,"△")/2</f>
        <v/>
      </c>
      <c r="K8" s="4">
        <f>COUNTIF(AJ8:BN8,"☆")/2</f>
        <v/>
      </c>
      <c r="L8" s="4">
        <f>'加班结算加班工资'!H8</f>
        <v/>
      </c>
      <c r="M8" s="4">
        <f>COUNTIF(AJ8:BN8,"×")</f>
        <v/>
      </c>
      <c r="N8" s="4">
        <f>COUNTIF(AJ8:BN8,"迟")</f>
        <v/>
      </c>
      <c r="O8" s="4">
        <f>COUNTIF(AJ8:BN8,"缺")</f>
        <v/>
      </c>
      <c r="P8" s="9">
        <f>IF(F8=0,0,G8/F8)</f>
        <v/>
      </c>
      <c r="Q8" s="4" t="inlineStr"/>
      <c r="R8" s="4" t="inlineStr"/>
      <c r="S8" s="4" t="inlineStr"/>
      <c r="T8" s="4">
        <f>签字!AI12</f>
        <v/>
      </c>
      <c r="U8" s="4">
        <f>签字!AJ12</f>
        <v/>
      </c>
      <c r="V8" s="4">
        <f>签字!AK12</f>
        <v/>
      </c>
      <c r="W8" s="4">
        <f>签字!AL12</f>
        <v/>
      </c>
      <c r="X8" s="4">
        <f>签字!AM12</f>
        <v/>
      </c>
      <c r="Y8" s="4">
        <f>签字!AN12</f>
        <v/>
      </c>
      <c r="Z8" s="4">
        <f>签字!AO12</f>
        <v/>
      </c>
      <c r="AA8" s="4">
        <f>签字!AP12</f>
        <v/>
      </c>
      <c r="AB8" s="4">
        <f>H8*8</f>
        <v/>
      </c>
      <c r="AC8" s="4">
        <f>I8*8</f>
        <v/>
      </c>
      <c r="AD8" s="4">
        <f>J8*8</f>
        <v/>
      </c>
      <c r="AE8" s="4">
        <f>K8*8</f>
        <v/>
      </c>
      <c r="AF8" s="4">
        <f>'加班结算加班工资'!E8</f>
        <v/>
      </c>
      <c r="AG8" s="4">
        <f>'加班结算加班工资'!F8</f>
        <v/>
      </c>
      <c r="AH8" s="4">
        <f>'加班结算加班工资'!G8</f>
        <v/>
      </c>
      <c r="AI8" s="4">
        <f>'加班结算加班工资'!H8</f>
        <v/>
      </c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>
        <f>IF(M8+N8+O8&gt;0,"旷工"&amp;M8&amp;"次 迟到"&amp;N8&amp;"次 缺卡"&amp;O8&amp;"次","正常")</f>
        <v/>
      </c>
      <c r="BP8" s="4">
        <f>M8</f>
        <v/>
      </c>
      <c r="BQ8" s="4">
        <f>N8</f>
        <v/>
      </c>
      <c r="BR8" s="4">
        <f>O8</f>
        <v/>
      </c>
      <c r="BS8" s="4">
        <f>R8</f>
        <v/>
      </c>
      <c r="BT8" s="4">
        <f>S8</f>
        <v/>
      </c>
    </row>
    <row r="9">
      <c r="A9" s="4" t="inlineStr">
        <is>
          <t>王芳</t>
        </is>
      </c>
      <c r="B9" s="4" t="inlineStr">
        <is>
          <t>默认考勤组</t>
        </is>
      </c>
      <c r="C9" s="4" t="inlineStr">
        <is>
          <t>行政部</t>
        </is>
      </c>
      <c r="D9" s="4" t="inlineStr">
        <is>
          <t>E005</t>
        </is>
      </c>
      <c r="E9" s="4" t="inlineStr">
        <is>
          <t>人事专员</t>
        </is>
      </c>
      <c r="F9" s="4" t="n">
        <v>31</v>
      </c>
      <c r="G9" s="4">
        <f>COUNTIF(AJ9:BN9,"√")</f>
        <v/>
      </c>
      <c r="H9" s="4">
        <f>COUNTIF(AJ9:BN9,"◇")/2</f>
        <v/>
      </c>
      <c r="I9" s="4">
        <f>COUNTIF(AJ9:BN9,"○")/2</f>
        <v/>
      </c>
      <c r="J9" s="4">
        <f>COUNTIF(AJ9:BN9,"△")/2</f>
        <v/>
      </c>
      <c r="K9" s="4">
        <f>COUNTIF(AJ9:BN9,"☆")/2</f>
        <v/>
      </c>
      <c r="L9" s="4">
        <f>'加班结算加班工资'!H9</f>
        <v/>
      </c>
      <c r="M9" s="4">
        <f>COUNTIF(AJ9:BN9,"×")</f>
        <v/>
      </c>
      <c r="N9" s="4">
        <f>COUNTIF(AJ9:BN9,"迟")</f>
        <v/>
      </c>
      <c r="O9" s="4">
        <f>COUNTIF(AJ9:BN9,"缺")</f>
        <v/>
      </c>
      <c r="P9" s="9">
        <f>IF(F9=0,0,G9/F9)</f>
        <v/>
      </c>
      <c r="Q9" s="4" t="inlineStr"/>
      <c r="R9" s="4" t="inlineStr"/>
      <c r="S9" s="4" t="inlineStr"/>
      <c r="T9" s="4">
        <f>签字!AI14</f>
        <v/>
      </c>
      <c r="U9" s="4">
        <f>签字!AJ14</f>
        <v/>
      </c>
      <c r="V9" s="4">
        <f>签字!AK14</f>
        <v/>
      </c>
      <c r="W9" s="4">
        <f>签字!AL14</f>
        <v/>
      </c>
      <c r="X9" s="4">
        <f>签字!AM14</f>
        <v/>
      </c>
      <c r="Y9" s="4">
        <f>签字!AN14</f>
        <v/>
      </c>
      <c r="Z9" s="4">
        <f>签字!AO14</f>
        <v/>
      </c>
      <c r="AA9" s="4">
        <f>签字!AP14</f>
        <v/>
      </c>
      <c r="AB9" s="4">
        <f>H9*8</f>
        <v/>
      </c>
      <c r="AC9" s="4">
        <f>I9*8</f>
        <v/>
      </c>
      <c r="AD9" s="4">
        <f>J9*8</f>
        <v/>
      </c>
      <c r="AE9" s="4">
        <f>K9*8</f>
        <v/>
      </c>
      <c r="AF9" s="4">
        <f>'加班结算加班工资'!E9</f>
        <v/>
      </c>
      <c r="AG9" s="4">
        <f>'加班结算加班工资'!F9</f>
        <v/>
      </c>
      <c r="AH9" s="4">
        <f>'加班结算加班工资'!G9</f>
        <v/>
      </c>
      <c r="AI9" s="4">
        <f>'加班结算加班工资'!H9</f>
        <v/>
      </c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>
        <f>IF(M9+N9+O9&gt;0,"旷工"&amp;M9&amp;"次 迟到"&amp;N9&amp;"次 缺卡"&amp;O9&amp;"次","正常")</f>
        <v/>
      </c>
      <c r="BP9" s="4">
        <f>M9</f>
        <v/>
      </c>
      <c r="BQ9" s="4">
        <f>N9</f>
        <v/>
      </c>
      <c r="BR9" s="4">
        <f>O9</f>
        <v/>
      </c>
      <c r="BS9" s="4">
        <f>R9</f>
        <v/>
      </c>
      <c r="BT9" s="4">
        <f>S9</f>
        <v/>
      </c>
    </row>
  </sheetData>
  <mergeCells count="6">
    <mergeCell ref="BO3:BT3"/>
    <mergeCell ref="F3:AI3"/>
    <mergeCell ref="A2:BT2"/>
    <mergeCell ref="AJ3:BN3"/>
    <mergeCell ref="A1:BT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创崎新能源技术（上海）有限公司2026年5月加班结算及加班工资</t>
        </is>
      </c>
    </row>
    <row r="3">
      <c r="A3" s="8" t="inlineStr">
        <is>
          <t>姓名</t>
        </is>
      </c>
      <c r="B3" s="8" t="inlineStr">
        <is>
          <t>工号</t>
        </is>
      </c>
      <c r="C3" s="8" t="inlineStr">
        <is>
          <t>部门</t>
        </is>
      </c>
      <c r="D3" s="8" t="inlineStr">
        <is>
          <t>职位</t>
        </is>
      </c>
      <c r="E3" s="8" t="inlineStr">
        <is>
          <t>平日加班(小时)</t>
        </is>
      </c>
      <c r="F3" s="8" t="inlineStr">
        <is>
          <t>周末加班(小时)</t>
        </is>
      </c>
      <c r="G3" s="8" t="inlineStr">
        <is>
          <t>节假日加班(小时)</t>
        </is>
      </c>
      <c r="H3" s="8" t="inlineStr">
        <is>
          <t>加班总时长</t>
        </is>
      </c>
      <c r="I3" s="8" t="inlineStr">
        <is>
          <t>加班单价(元/小时)</t>
        </is>
      </c>
      <c r="J3" s="8" t="inlineStr">
        <is>
          <t>加班工资(元)</t>
        </is>
      </c>
      <c r="K3" s="8" t="inlineStr">
        <is>
          <t>备注</t>
        </is>
      </c>
    </row>
    <row r="4">
      <c r="A4" s="4" t="inlineStr">
        <is>
          <t>陈鹏</t>
        </is>
      </c>
      <c r="B4" s="4" t="inlineStr">
        <is>
          <t>E001</t>
        </is>
      </c>
      <c r="C4" s="4" t="inlineStr">
        <is>
          <t>朋创</t>
        </is>
      </c>
      <c r="D4" s="4" t="inlineStr">
        <is>
          <t>工程师</t>
        </is>
      </c>
      <c r="E4" s="4" t="n">
        <v>0</v>
      </c>
      <c r="F4" s="4" t="n">
        <v>0</v>
      </c>
      <c r="G4" s="4" t="n">
        <v>0</v>
      </c>
      <c r="H4" s="4">
        <f>E4+F4+G4</f>
        <v/>
      </c>
      <c r="I4" s="4" t="n">
        <v>0</v>
      </c>
      <c r="J4" s="4">
        <f>H4*I4*1.5</f>
        <v/>
      </c>
      <c r="K4" s="4" t="inlineStr"/>
    </row>
    <row r="5">
      <c r="A5" s="4" t="inlineStr">
        <is>
          <t>芮超杰</t>
        </is>
      </c>
      <c r="B5" s="4" t="inlineStr">
        <is>
          <t>E002</t>
        </is>
      </c>
      <c r="C5" s="4" t="inlineStr">
        <is>
          <t>电机部</t>
        </is>
      </c>
      <c r="D5" s="4" t="inlineStr">
        <is>
          <t>技术员</t>
        </is>
      </c>
      <c r="E5" s="4" t="n">
        <v>0</v>
      </c>
      <c r="F5" s="4" t="n">
        <v>0</v>
      </c>
      <c r="G5" s="4" t="n">
        <v>0</v>
      </c>
      <c r="H5" s="4">
        <f>E5+F5+G5</f>
        <v/>
      </c>
      <c r="I5" s="4" t="n">
        <v>0</v>
      </c>
      <c r="J5" s="4">
        <f>H5*I5*1.5</f>
        <v/>
      </c>
      <c r="K5" s="4" t="inlineStr"/>
    </row>
    <row r="6">
      <c r="A6" s="4" t="inlineStr">
        <is>
          <t>张成</t>
        </is>
      </c>
      <c r="B6" s="4" t="inlineStr">
        <is>
          <t>E003</t>
        </is>
      </c>
      <c r="C6" s="4" t="inlineStr">
        <is>
          <t>项目推进部</t>
        </is>
      </c>
      <c r="D6" s="4" t="inlineStr">
        <is>
          <t>项目经理</t>
        </is>
      </c>
      <c r="E6" s="4" t="n">
        <v>0</v>
      </c>
      <c r="F6" s="4" t="n">
        <v>0</v>
      </c>
      <c r="G6" s="4" t="n">
        <v>0</v>
      </c>
      <c r="H6" s="4">
        <f>E6+F6+G6</f>
        <v/>
      </c>
      <c r="I6" s="4" t="n">
        <v>0</v>
      </c>
      <c r="J6" s="4">
        <f>H6*I6*1.5</f>
        <v/>
      </c>
      <c r="K6" s="4" t="inlineStr"/>
    </row>
    <row r="7">
      <c r="A7" s="4" t="inlineStr">
        <is>
          <t>李明</t>
        </is>
      </c>
      <c r="B7" s="4" t="inlineStr">
        <is>
          <t>E004</t>
        </is>
      </c>
      <c r="C7" s="4" t="inlineStr">
        <is>
          <t>品质部</t>
        </is>
      </c>
      <c r="D7" s="4" t="inlineStr">
        <is>
          <t>质检员</t>
        </is>
      </c>
      <c r="E7" s="4" t="n">
        <v>0</v>
      </c>
      <c r="F7" s="4" t="n">
        <v>0</v>
      </c>
      <c r="G7" s="4" t="n">
        <v>0</v>
      </c>
      <c r="H7" s="4">
        <f>E7+F7+G7</f>
        <v/>
      </c>
      <c r="I7" s="4" t="n">
        <v>0</v>
      </c>
      <c r="J7" s="4">
        <f>H7*I7*1.5</f>
        <v/>
      </c>
      <c r="K7" s="4" t="inlineStr"/>
    </row>
    <row r="8">
      <c r="A8" s="4" t="inlineStr">
        <is>
          <t>王芳</t>
        </is>
      </c>
      <c r="B8" s="4" t="inlineStr">
        <is>
          <t>E005</t>
        </is>
      </c>
      <c r="C8" s="4" t="inlineStr">
        <is>
          <t>行政部</t>
        </is>
      </c>
      <c r="D8" s="4" t="inlineStr">
        <is>
          <t>人事专员</t>
        </is>
      </c>
      <c r="E8" s="4" t="n">
        <v>0</v>
      </c>
      <c r="F8" s="4" t="n">
        <v>0</v>
      </c>
      <c r="G8" s="4" t="n">
        <v>0</v>
      </c>
      <c r="H8" s="4">
        <f>E8+F8+G8</f>
        <v/>
      </c>
      <c r="I8" s="4" t="n">
        <v>0</v>
      </c>
      <c r="J8" s="4">
        <f>H8*I8*1.5</f>
        <v/>
      </c>
      <c r="K8" s="4" t="inlineStr"/>
    </row>
    <row r="10">
      <c r="D10" s="10" t="inlineStr">
        <is>
          <t>合计</t>
        </is>
      </c>
      <c r="E10" s="10">
        <f>SUM(E4:E8)</f>
        <v/>
      </c>
      <c r="F10" s="10">
        <f>SUM(F4:F8)</f>
        <v/>
      </c>
      <c r="G10" s="10">
        <f>SUM(G4:G8)</f>
        <v/>
      </c>
      <c r="H10" s="10">
        <f>SUM(H4:H8)</f>
        <v/>
      </c>
      <c r="J10" s="10">
        <f>SUM(J4:J8)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2026-06-16T02:07:27Z</dcterms:created>
  <dcterms:modified xsi:type="dcterms:W3CDTF">2026-06-16T02:07:27Z</dcterms:modified>
</cp:coreProperties>
</file>